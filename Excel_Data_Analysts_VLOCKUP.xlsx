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Analyst\Excel\"/>
    </mc:Choice>
  </mc:AlternateContent>
  <bookViews>
    <workbookView xWindow="0" yWindow="0" windowWidth="23040" windowHeight="9192" tabRatio="941" activeTab="2"/>
  </bookViews>
  <sheets>
    <sheet name="VLOOKUP" sheetId="12" r:id="rId1"/>
    <sheet name="VLOOKUP-2" sheetId="13" r:id="rId2"/>
    <sheet name="VLOOKUP with MATCH" sheetId="15" r:id="rId3"/>
    <sheet name="Match and Index" sheetId="16" r:id="rId4"/>
  </sheets>
  <externalReferences>
    <externalReference r:id="rId5"/>
  </externalReferences>
  <definedNames>
    <definedName name="Emp_Type" localSheetId="3">'[1]V-Lookup (2)'!$H$2:$I$8</definedName>
    <definedName name="Emp_Type" localSheetId="2">'VLOOKUP with MATCH'!#REF!</definedName>
    <definedName name="Emp_Type">'VLOOKUP-2'!$I$2:$J$8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6" l="1"/>
  <c r="B17" i="16"/>
  <c r="B16" i="16"/>
  <c r="H4" i="15" l="1"/>
  <c r="H3" i="15"/>
  <c r="G7" i="15"/>
  <c r="F10" i="13"/>
  <c r="F3" i="13"/>
  <c r="F4" i="13"/>
  <c r="F5" i="13"/>
  <c r="F6" i="13"/>
  <c r="F7" i="13"/>
  <c r="F8" i="13"/>
  <c r="F9" i="13"/>
  <c r="F11" i="13"/>
  <c r="F12" i="13"/>
  <c r="F13" i="13"/>
  <c r="F2" i="13"/>
  <c r="I4" i="12"/>
  <c r="I5" i="12"/>
  <c r="I3" i="12"/>
  <c r="F3" i="12" l="1"/>
  <c r="F4" i="12"/>
  <c r="F5" i="12"/>
  <c r="F6" i="12"/>
  <c r="F7" i="12"/>
  <c r="F8" i="12"/>
  <c r="F9" i="12"/>
  <c r="F10" i="12"/>
  <c r="I7" i="12" s="1"/>
  <c r="F11" i="12"/>
  <c r="F12" i="12"/>
  <c r="F13" i="12"/>
  <c r="F2" i="12"/>
  <c r="E3" i="12"/>
  <c r="E4" i="12"/>
  <c r="E5" i="12"/>
  <c r="E6" i="12"/>
  <c r="E7" i="12"/>
  <c r="E8" i="12"/>
  <c r="E9" i="12"/>
  <c r="E10" i="12"/>
  <c r="I6" i="12" s="1"/>
  <c r="E11" i="12"/>
  <c r="E12" i="12"/>
  <c r="E13" i="12"/>
  <c r="E2" i="12"/>
</calcChain>
</file>

<file path=xl/sharedStrings.xml><?xml version="1.0" encoding="utf-8"?>
<sst xmlns="http://schemas.openxmlformats.org/spreadsheetml/2006/main" count="255" uniqueCount="135">
  <si>
    <t>Salary</t>
  </si>
  <si>
    <t>Name</t>
  </si>
  <si>
    <t>Department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</si>
  <si>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</si>
  <si>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</si>
  <si>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</si>
  <si>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</si>
  <si>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</si>
  <si>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</si>
  <si>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</si>
  <si>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</si>
  <si>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</si>
  <si>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</si>
  <si>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</si>
  <si>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</si>
  <si>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Finance</t>
  </si>
  <si>
    <t>Operations</t>
  </si>
  <si>
    <t>Sales</t>
  </si>
  <si>
    <t>Emp ID</t>
  </si>
  <si>
    <t>Salesman</t>
  </si>
  <si>
    <t>Target Status</t>
  </si>
  <si>
    <t>Salesman_1</t>
  </si>
  <si>
    <t>Salesman_2</t>
  </si>
  <si>
    <t>Salesman_3</t>
  </si>
  <si>
    <t>Salesman_4</t>
  </si>
  <si>
    <t>Salesman_5</t>
  </si>
  <si>
    <t>Salesman_6</t>
  </si>
  <si>
    <t>Salesman_7</t>
  </si>
  <si>
    <t>Salesman_8</t>
  </si>
  <si>
    <t>Salesman_9</t>
  </si>
  <si>
    <t>Salesman_10</t>
  </si>
  <si>
    <t>Salesman_11</t>
  </si>
  <si>
    <t>Salesman_12</t>
  </si>
  <si>
    <t>Incentive</t>
  </si>
  <si>
    <t>Working (years)</t>
  </si>
  <si>
    <t>Understanding VLOOKUP</t>
  </si>
  <si>
    <t>Formula, =VLOOKUP($I$2,$A$1:$F$13,ROW()-1,0)</t>
  </si>
  <si>
    <t>Employee_ID</t>
  </si>
  <si>
    <t>Emp_type</t>
  </si>
  <si>
    <t>Employee_Type</t>
  </si>
  <si>
    <t>Greater than</t>
  </si>
  <si>
    <t>Grade1</t>
  </si>
  <si>
    <t>Grade2</t>
  </si>
  <si>
    <t>Grade3</t>
  </si>
  <si>
    <t>Grade4</t>
  </si>
  <si>
    <t>Grade5</t>
  </si>
  <si>
    <t>Grade6</t>
  </si>
  <si>
    <t>Formula, =VLOOKUP(D11,Emp_Type,2,1)</t>
  </si>
  <si>
    <t>first we fixed or name the table, then use vlookup formula, give tab.ref. in it, and complete formula accordingly</t>
  </si>
  <si>
    <t>first we select the tab. Headings, paste it in ascending orders, then apply vllookup for furthers</t>
  </si>
  <si>
    <t xml:space="preserve"> ,nm</t>
  </si>
  <si>
    <t>Formula, =VLOOKUP($H$2,$A$2:$E$13,MATCH($G$3,$A$1:$E$1,0))</t>
  </si>
  <si>
    <t>Formula, =VLOOKUP($H$2,$A$2:$E$13,MATCH(G4,$A$1:$E$1,0))</t>
  </si>
  <si>
    <t>Understanding VLOOKUP with MATCH</t>
  </si>
  <si>
    <t>MATCH shows column no.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</si>
  <si>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</si>
  <si>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</si>
  <si>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</si>
  <si>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</si>
  <si>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</si>
  <si>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</si>
  <si>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</si>
  <si>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</si>
  <si>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</si>
  <si>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</si>
  <si>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</si>
  <si>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</si>
  <si>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</si>
  <si>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</si>
  <si>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</si>
  <si>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</si>
  <si>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</si>
  <si>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</si>
  <si>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</si>
  <si>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</si>
  <si>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</si>
  <si>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</si>
  <si>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</si>
  <si>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</si>
  <si>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</si>
  <si>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</si>
  <si>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</si>
  <si>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</si>
  <si>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</si>
  <si>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</si>
  <si>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</si>
  <si>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</si>
  <si>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</si>
  <si>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</si>
  <si>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</si>
  <si>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</si>
  <si>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</si>
  <si>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</si>
  <si>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</si>
  <si>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</si>
  <si>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</si>
  <si>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</si>
  <si>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</si>
  <si>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</si>
  <si>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</si>
  <si>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</si>
  <si>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</si>
  <si>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</si>
  <si>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</si>
  <si>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</si>
  <si>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</si>
  <si>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</si>
  <si>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</si>
  <si>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</si>
  <si>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</si>
  <si>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</si>
  <si>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</si>
  <si>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</si>
  <si>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</si>
  <si>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</si>
  <si>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</si>
  <si>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</si>
  <si>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</si>
  <si>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</si>
  <si>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</si>
  <si>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</si>
  <si>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</si>
  <si>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</si>
  <si>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</si>
  <si>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</si>
  <si>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</si>
  <si>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</si>
  <si>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</si>
  <si>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</si>
  <si>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</si>
  <si>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column</t>
  </si>
  <si>
    <t>row</t>
  </si>
  <si>
    <t>Formula: =INDEX(A1:J9,B16,B17)</t>
  </si>
  <si>
    <t>Formula: =MATCH(B14,A2:A9,0)</t>
  </si>
  <si>
    <t>Formula: =INDEX(A1:J9,MATCH(B14,A1:A9,0),MATCH(C13,A1:J1,0))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</si>
</sst>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actice%20Files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 refreshError="1"/>
      <sheetData sheetId="1">
        <row r="2">
          <cell r="H2" t="str">
            <v>Salary</v>
          </cell>
          <cell r="I2" t="str">
            <v>Emp_type</v>
          </cell>
        </row>
        <row r="3">
          <cell r="H3">
            <v>15000</v>
          </cell>
          <cell r="I3" t="str">
            <v>Grade6</v>
          </cell>
        </row>
        <row r="4">
          <cell r="H4">
            <v>30000</v>
          </cell>
          <cell r="I4" t="str">
            <v>Grade5</v>
          </cell>
        </row>
        <row r="5">
          <cell r="H5">
            <v>45000</v>
          </cell>
          <cell r="I5" t="str">
            <v>Grade4</v>
          </cell>
        </row>
        <row r="6">
          <cell r="H6">
            <v>60000</v>
          </cell>
          <cell r="I6" t="str">
            <v>Grade3</v>
          </cell>
        </row>
        <row r="7">
          <cell r="H7">
            <v>75000</v>
          </cell>
          <cell r="I7" t="str">
            <v>Grade2</v>
          </cell>
        </row>
        <row r="8">
          <cell r="H8">
            <v>90000</v>
          </cell>
          <cell r="I8" t="str">
            <v>Grade1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J15" sqref="J15"/>
    </sheetView>
  </sheetViews>
  <sheetFormatPr defaultColWidth="14.44140625" defaultRowHeight="14.4" x14ac:dyDescent="0.3"/>
  <cols>
    <col min="5" max="5" width="14.44140625" style="1"/>
    <col min="9" max="9" width="14.44140625" style="1"/>
  </cols>
  <sheetData>
    <row r="1" spans="1:13" s="2" customFormat="1" x14ac:dyDescent="0.3">
      <c r="A1" s="4" t="s">
        <v>18</v>
      </c>
      <c r="B1" s="4" t="s">
        <v>19</v>
      </c>
      <c r="C1" s="4" t="s">
        <v>15</v>
      </c>
      <c r="D1" s="4" t="s">
        <v>17</v>
      </c>
      <c r="E1" s="4" t="s">
        <v>20</v>
      </c>
      <c r="F1" s="4" t="s">
        <v>33</v>
      </c>
    </row>
    <row r="2" spans="1:13" x14ac:dyDescent="0.3">
      <c r="A2" s="3" t="s">
        <v>3</v>
      </c>
      <c r="B2" s="3" t="s">
        <v>21</v>
      </c>
      <c r="C2" s="3" t="s">
        <v>16</v>
      </c>
      <c r="D2" s="3">
        <v>72704</v>
      </c>
      <c r="E2" s="5" t="str">
        <f>IF(D2&gt;=50000,"Completed",IF(D2&lt;50000,"Incompleted"))</f>
        <v>Completed</v>
      </c>
      <c r="F2" s="3">
        <f>IF(D2&gt;75000,D2*25%,IF(D2&gt;50000,D2*15%,IF(D2&lt;=50000,D2*10%)))</f>
        <v>10905.6</v>
      </c>
      <c r="H2" s="4" t="s">
        <v>18</v>
      </c>
      <c r="I2" s="1" t="s">
        <v>11</v>
      </c>
    </row>
    <row r="3" spans="1:13" x14ac:dyDescent="0.3">
      <c r="A3" s="3" t="s">
        <v>4</v>
      </c>
      <c r="B3" s="3" t="s">
        <v>22</v>
      </c>
      <c r="C3" s="3" t="s">
        <v>17</v>
      </c>
      <c r="D3" s="3">
        <v>65986</v>
      </c>
      <c r="E3" s="5" t="str">
        <f t="shared" ref="E3:E13" si="0">IF(D3&gt;=50000,"Completed",IF(D3&lt;50000,"Incompleted"))</f>
        <v>Completed</v>
      </c>
      <c r="F3" s="3">
        <f t="shared" ref="F3:F13" si="1">IF(D3&gt;75000,D3*25%,IF(D3&gt;50000,D3*15%,IF(D3&lt;=50000,D3*10%)))</f>
        <v>9897.9</v>
      </c>
      <c r="H3" s="4" t="s">
        <v>19</v>
      </c>
      <c r="I3" s="1" t="str">
        <f>VLOOKUP($I$2,$A$1:$F$13,ROW()-1,0)</f>
        <v>Salesman_9</v>
      </c>
    </row>
    <row r="4" spans="1:13" x14ac:dyDescent="0.3">
      <c r="A4" s="3" t="s">
        <v>5</v>
      </c>
      <c r="B4" s="3" t="s">
        <v>23</v>
      </c>
      <c r="C4" s="3" t="s">
        <v>15</v>
      </c>
      <c r="D4" s="3">
        <v>62547</v>
      </c>
      <c r="E4" s="5" t="str">
        <f t="shared" si="0"/>
        <v>Completed</v>
      </c>
      <c r="F4" s="3">
        <f t="shared" si="1"/>
        <v>9382.0499999999993</v>
      </c>
      <c r="H4" s="4" t="s">
        <v>15</v>
      </c>
      <c r="I4" s="1" t="str">
        <f>VLOOKUP($I$2,$A$1:$F$13,ROW()-1,0)</f>
        <v>Operations</v>
      </c>
    </row>
    <row r="5" spans="1:13" x14ac:dyDescent="0.3">
      <c r="A5" s="3" t="s">
        <v>6</v>
      </c>
      <c r="B5" s="3" t="s">
        <v>24</v>
      </c>
      <c r="C5" s="3" t="s">
        <v>16</v>
      </c>
      <c r="D5" s="3">
        <v>20325</v>
      </c>
      <c r="E5" s="5" t="str">
        <f t="shared" si="0"/>
        <v>Incompleted</v>
      </c>
      <c r="F5" s="3">
        <f t="shared" si="1"/>
        <v>2032.5</v>
      </c>
      <c r="H5" s="4" t="s">
        <v>17</v>
      </c>
      <c r="I5" s="1">
        <f>VLOOKUP($I$2,$A$1:$F$13,ROW()-1,0)</f>
        <v>12365</v>
      </c>
    </row>
    <row r="6" spans="1:13" x14ac:dyDescent="0.3">
      <c r="A6" s="3" t="s">
        <v>7</v>
      </c>
      <c r="B6" s="3" t="s">
        <v>25</v>
      </c>
      <c r="C6" s="3" t="s">
        <v>16</v>
      </c>
      <c r="D6" s="3">
        <v>96532</v>
      </c>
      <c r="E6" s="5" t="str">
        <f t="shared" si="0"/>
        <v>Completed</v>
      </c>
      <c r="F6" s="3">
        <f t="shared" si="1"/>
        <v>24133</v>
      </c>
      <c r="H6" s="4" t="s">
        <v>20</v>
      </c>
      <c r="I6" s="1" t="str">
        <f>VLOOKUP($I$2,$A$1:$F$13,ROW()-1,0)</f>
        <v>Incompleted</v>
      </c>
    </row>
    <row r="7" spans="1:13" x14ac:dyDescent="0.3">
      <c r="A7" s="3" t="s">
        <v>8</v>
      </c>
      <c r="B7" s="3" t="s">
        <v>26</v>
      </c>
      <c r="C7" s="3" t="s">
        <v>17</v>
      </c>
      <c r="D7" s="3">
        <v>65874</v>
      </c>
      <c r="E7" s="5" t="str">
        <f t="shared" si="0"/>
        <v>Completed</v>
      </c>
      <c r="F7" s="3">
        <f t="shared" si="1"/>
        <v>9881.1</v>
      </c>
      <c r="H7" s="4" t="s">
        <v>33</v>
      </c>
      <c r="I7" s="1">
        <f>VLOOKUP($I$2,$A$1:$F$13,ROW()-1,0)</f>
        <v>1236.5</v>
      </c>
    </row>
    <row r="8" spans="1:13" x14ac:dyDescent="0.3">
      <c r="A8" s="3" t="s">
        <v>9</v>
      </c>
      <c r="B8" s="3" t="s">
        <v>27</v>
      </c>
      <c r="C8" s="3" t="s">
        <v>15</v>
      </c>
      <c r="D8" s="3">
        <v>86523</v>
      </c>
      <c r="E8" s="5" t="str">
        <f t="shared" si="0"/>
        <v>Completed</v>
      </c>
      <c r="F8" s="3">
        <f t="shared" si="1"/>
        <v>21630.75</v>
      </c>
    </row>
    <row r="9" spans="1:13" x14ac:dyDescent="0.3">
      <c r="A9" s="3" t="s">
        <v>10</v>
      </c>
      <c r="B9" s="3" t="s">
        <v>28</v>
      </c>
      <c r="C9" s="3" t="s">
        <v>16</v>
      </c>
      <c r="D9" s="3">
        <v>32569</v>
      </c>
      <c r="E9" s="5" t="str">
        <f t="shared" si="0"/>
        <v>Incompleted</v>
      </c>
      <c r="F9" s="3">
        <f t="shared" si="1"/>
        <v>3256.9</v>
      </c>
    </row>
    <row r="10" spans="1:13" x14ac:dyDescent="0.3">
      <c r="A10" s="3" t="s">
        <v>11</v>
      </c>
      <c r="B10" s="3" t="s">
        <v>29</v>
      </c>
      <c r="C10" s="3" t="s">
        <v>16</v>
      </c>
      <c r="D10" s="3">
        <v>12365</v>
      </c>
      <c r="E10" s="5" t="str">
        <f t="shared" si="0"/>
        <v>Incompleted</v>
      </c>
      <c r="F10" s="3">
        <f t="shared" si="1"/>
        <v>1236.5</v>
      </c>
    </row>
    <row r="11" spans="1:13" x14ac:dyDescent="0.3">
      <c r="A11" s="3" t="s">
        <v>12</v>
      </c>
      <c r="B11" s="3" t="s">
        <v>30</v>
      </c>
      <c r="C11" s="3" t="s">
        <v>17</v>
      </c>
      <c r="D11" s="3">
        <v>12345</v>
      </c>
      <c r="E11" s="5" t="str">
        <f t="shared" si="0"/>
        <v>Incompleted</v>
      </c>
      <c r="F11" s="3">
        <f t="shared" si="1"/>
        <v>1234.5</v>
      </c>
      <c r="J11" s="17" t="s">
        <v>35</v>
      </c>
      <c r="K11" s="17"/>
      <c r="L11" s="17"/>
      <c r="M11" s="17"/>
    </row>
    <row r="12" spans="1:13" x14ac:dyDescent="0.3">
      <c r="A12" s="3" t="s">
        <v>13</v>
      </c>
      <c r="B12" s="3" t="s">
        <v>31</v>
      </c>
      <c r="C12" s="3" t="s">
        <v>17</v>
      </c>
      <c r="D12" s="3">
        <v>98562</v>
      </c>
      <c r="E12" s="5" t="str">
        <f t="shared" si="0"/>
        <v>Completed</v>
      </c>
      <c r="F12" s="3">
        <f t="shared" si="1"/>
        <v>24640.5</v>
      </c>
      <c r="K12" t="s">
        <v>36</v>
      </c>
    </row>
    <row r="13" spans="1:13" x14ac:dyDescent="0.3">
      <c r="A13" s="3" t="s">
        <v>14</v>
      </c>
      <c r="B13" s="3" t="s">
        <v>32</v>
      </c>
      <c r="C13" s="3" t="s">
        <v>16</v>
      </c>
      <c r="D13" s="3">
        <v>75632</v>
      </c>
      <c r="E13" s="5" t="str">
        <f t="shared" si="0"/>
        <v>Completed</v>
      </c>
      <c r="F13" s="3">
        <f t="shared" si="1"/>
        <v>18908</v>
      </c>
    </row>
    <row r="15" spans="1:13" ht="100.8" x14ac:dyDescent="0.3">
      <c r="J15" s="11" t="s">
        <v>49</v>
      </c>
    </row>
    <row r="23" spans="9:9" x14ac:dyDescent="0.3">
      <c r="I23" s="2"/>
    </row>
  </sheetData>
  <mergeCells count="1">
    <mergeCell ref="J11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H16" sqref="H16"/>
    </sheetView>
  </sheetViews>
  <sheetFormatPr defaultColWidth="14.44140625" defaultRowHeight="14.4" x14ac:dyDescent="0.3"/>
  <cols>
    <col min="5" max="5" width="16" style="1" customWidth="1"/>
    <col min="6" max="6" width="14.5546875" bestFit="1" customWidth="1"/>
  </cols>
  <sheetData>
    <row r="1" spans="1:12" s="2" customFormat="1" x14ac:dyDescent="0.3">
      <c r="A1" s="6" t="s">
        <v>37</v>
      </c>
      <c r="B1" s="6" t="s">
        <v>1</v>
      </c>
      <c r="C1" s="6" t="s">
        <v>2</v>
      </c>
      <c r="D1" s="6" t="s">
        <v>0</v>
      </c>
      <c r="E1" s="6" t="s">
        <v>34</v>
      </c>
      <c r="F1" s="7" t="s">
        <v>39</v>
      </c>
      <c r="I1" s="2" t="s">
        <v>40</v>
      </c>
    </row>
    <row r="2" spans="1:12" x14ac:dyDescent="0.3">
      <c r="A2" s="3" t="s">
        <v>3</v>
      </c>
      <c r="B2" s="3" t="s">
        <v>21</v>
      </c>
      <c r="C2" s="3" t="s">
        <v>16</v>
      </c>
      <c r="D2" s="3">
        <v>72704</v>
      </c>
      <c r="E2" s="5">
        <v>5</v>
      </c>
      <c r="F2" s="8" t="str">
        <f t="shared" ref="F2:F13" si="0">VLOOKUP(D2,Emp_Type,2,1)</f>
        <v>Grade3</v>
      </c>
      <c r="G2" s="9"/>
      <c r="I2" t="s">
        <v>0</v>
      </c>
      <c r="J2" t="s">
        <v>38</v>
      </c>
    </row>
    <row r="3" spans="1:12" ht="14.4" customHeight="1" x14ac:dyDescent="0.3">
      <c r="A3" s="3" t="s">
        <v>4</v>
      </c>
      <c r="B3" s="3" t="s">
        <v>22</v>
      </c>
      <c r="C3" s="3" t="s">
        <v>17</v>
      </c>
      <c r="D3" s="3">
        <v>65986</v>
      </c>
      <c r="E3" s="5">
        <v>4</v>
      </c>
      <c r="F3" s="8" t="str">
        <f t="shared" si="0"/>
        <v>Grade3</v>
      </c>
      <c r="G3" s="10"/>
      <c r="I3">
        <v>15000</v>
      </c>
      <c r="J3" t="s">
        <v>46</v>
      </c>
    </row>
    <row r="4" spans="1:12" x14ac:dyDescent="0.3">
      <c r="A4" s="3" t="s">
        <v>5</v>
      </c>
      <c r="B4" s="3" t="s">
        <v>23</v>
      </c>
      <c r="C4" s="3" t="s">
        <v>15</v>
      </c>
      <c r="D4" s="3">
        <v>62547</v>
      </c>
      <c r="E4" s="5">
        <v>3</v>
      </c>
      <c r="F4" s="8" t="str">
        <f t="shared" si="0"/>
        <v>Grade3</v>
      </c>
      <c r="G4" s="10"/>
      <c r="I4">
        <v>30000</v>
      </c>
      <c r="J4" t="s">
        <v>45</v>
      </c>
    </row>
    <row r="5" spans="1:12" x14ac:dyDescent="0.3">
      <c r="A5" s="3" t="s">
        <v>6</v>
      </c>
      <c r="B5" s="3" t="s">
        <v>24</v>
      </c>
      <c r="C5" s="3" t="s">
        <v>16</v>
      </c>
      <c r="D5" s="3">
        <v>20325</v>
      </c>
      <c r="E5" s="5">
        <v>4</v>
      </c>
      <c r="F5" s="8" t="str">
        <f t="shared" si="0"/>
        <v>Grade6</v>
      </c>
      <c r="G5" s="10"/>
      <c r="I5">
        <v>45000</v>
      </c>
      <c r="J5" t="s">
        <v>44</v>
      </c>
    </row>
    <row r="6" spans="1:12" x14ac:dyDescent="0.3">
      <c r="A6" s="3" t="s">
        <v>7</v>
      </c>
      <c r="B6" s="3" t="s">
        <v>25</v>
      </c>
      <c r="C6" s="3" t="s">
        <v>16</v>
      </c>
      <c r="D6" s="3">
        <v>96532</v>
      </c>
      <c r="E6" s="5">
        <v>6</v>
      </c>
      <c r="F6" s="8" t="str">
        <f t="shared" si="0"/>
        <v>Grade1</v>
      </c>
      <c r="G6" s="10"/>
      <c r="I6">
        <v>60000</v>
      </c>
      <c r="J6" t="s">
        <v>43</v>
      </c>
    </row>
    <row r="7" spans="1:12" x14ac:dyDescent="0.3">
      <c r="A7" s="3" t="s">
        <v>8</v>
      </c>
      <c r="B7" s="3" t="s">
        <v>26</v>
      </c>
      <c r="C7" s="3" t="s">
        <v>17</v>
      </c>
      <c r="D7" s="3">
        <v>65874</v>
      </c>
      <c r="E7" s="5">
        <v>7</v>
      </c>
      <c r="F7" s="8" t="str">
        <f t="shared" si="0"/>
        <v>Grade3</v>
      </c>
      <c r="G7" s="10"/>
      <c r="I7">
        <v>75000</v>
      </c>
      <c r="J7" t="s">
        <v>42</v>
      </c>
    </row>
    <row r="8" spans="1:12" x14ac:dyDescent="0.3">
      <c r="A8" s="3" t="s">
        <v>9</v>
      </c>
      <c r="B8" s="3" t="s">
        <v>27</v>
      </c>
      <c r="C8" s="3" t="s">
        <v>15</v>
      </c>
      <c r="D8" s="3">
        <v>86523</v>
      </c>
      <c r="E8" s="5">
        <v>3</v>
      </c>
      <c r="F8" s="8" t="str">
        <f t="shared" si="0"/>
        <v>Grade2</v>
      </c>
      <c r="G8" s="10"/>
      <c r="I8">
        <v>90000</v>
      </c>
      <c r="J8" t="s">
        <v>41</v>
      </c>
    </row>
    <row r="9" spans="1:12" ht="14.4" customHeight="1" x14ac:dyDescent="0.3">
      <c r="A9" s="3" t="s">
        <v>10</v>
      </c>
      <c r="B9" s="3" t="s">
        <v>28</v>
      </c>
      <c r="C9" s="3" t="s">
        <v>16</v>
      </c>
      <c r="D9" s="3">
        <v>48962</v>
      </c>
      <c r="E9" s="5">
        <v>5</v>
      </c>
      <c r="F9" s="8" t="str">
        <f t="shared" si="0"/>
        <v>Grade4</v>
      </c>
      <c r="G9" s="10"/>
    </row>
    <row r="10" spans="1:12" x14ac:dyDescent="0.3">
      <c r="A10" s="3" t="s">
        <v>11</v>
      </c>
      <c r="B10" s="3" t="s">
        <v>29</v>
      </c>
      <c r="C10" s="3" t="s">
        <v>16</v>
      </c>
      <c r="D10" s="3">
        <v>16235</v>
      </c>
      <c r="E10" s="5">
        <v>6</v>
      </c>
      <c r="F10" s="8" t="str">
        <f t="shared" si="0"/>
        <v>Grade6</v>
      </c>
      <c r="G10" s="10"/>
    </row>
    <row r="11" spans="1:12" x14ac:dyDescent="0.3">
      <c r="A11" s="3" t="s">
        <v>12</v>
      </c>
      <c r="B11" s="3" t="s">
        <v>30</v>
      </c>
      <c r="C11" s="3" t="s">
        <v>17</v>
      </c>
      <c r="D11" s="3">
        <v>31265</v>
      </c>
      <c r="E11" s="5">
        <v>2</v>
      </c>
      <c r="F11" s="8" t="str">
        <f t="shared" si="0"/>
        <v>Grade5</v>
      </c>
      <c r="G11" s="10"/>
    </row>
    <row r="12" spans="1:12" x14ac:dyDescent="0.3">
      <c r="A12" s="3" t="s">
        <v>13</v>
      </c>
      <c r="B12" s="3" t="s">
        <v>31</v>
      </c>
      <c r="C12" s="3" t="s">
        <v>17</v>
      </c>
      <c r="D12" s="3">
        <v>98562</v>
      </c>
      <c r="E12" s="5">
        <v>3</v>
      </c>
      <c r="F12" s="8" t="str">
        <f t="shared" si="0"/>
        <v>Grade1</v>
      </c>
      <c r="G12" s="10"/>
    </row>
    <row r="13" spans="1:12" x14ac:dyDescent="0.3">
      <c r="A13" s="3" t="s">
        <v>14</v>
      </c>
      <c r="B13" s="3" t="s">
        <v>32</v>
      </c>
      <c r="C13" s="3" t="s">
        <v>16</v>
      </c>
      <c r="D13" s="3">
        <v>75632</v>
      </c>
      <c r="E13" s="5">
        <v>7</v>
      </c>
      <c r="F13" s="8" t="str">
        <f t="shared" si="0"/>
        <v>Grade2</v>
      </c>
      <c r="G13" s="10"/>
      <c r="I13" s="17" t="s">
        <v>35</v>
      </c>
      <c r="J13" s="17"/>
      <c r="K13" s="17"/>
      <c r="L13" s="17"/>
    </row>
    <row r="14" spans="1:12" x14ac:dyDescent="0.3">
      <c r="J14" t="s">
        <v>47</v>
      </c>
    </row>
    <row r="16" spans="1:12" ht="129.6" x14ac:dyDescent="0.3">
      <c r="H16" t="s">
        <v>50</v>
      </c>
      <c r="J16" s="11" t="s">
        <v>48</v>
      </c>
    </row>
  </sheetData>
  <sortState ref="I3:J8">
    <sortCondition ref="I3"/>
  </sortState>
  <mergeCells count="1">
    <mergeCell ref="I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I19" sqref="I19"/>
    </sheetView>
  </sheetViews>
  <sheetFormatPr defaultColWidth="14.44140625" defaultRowHeight="14.4" x14ac:dyDescent="0.3"/>
  <cols>
    <col min="5" max="5" width="16" style="1" customWidth="1"/>
  </cols>
  <sheetData>
    <row r="1" spans="1:11" s="2" customFormat="1" x14ac:dyDescent="0.3">
      <c r="A1" s="6" t="s">
        <v>37</v>
      </c>
      <c r="B1" s="6" t="s">
        <v>1</v>
      </c>
      <c r="C1" s="6" t="s">
        <v>2</v>
      </c>
      <c r="D1" s="6" t="s">
        <v>0</v>
      </c>
      <c r="E1" s="6" t="s">
        <v>34</v>
      </c>
    </row>
    <row r="2" spans="1:11" x14ac:dyDescent="0.3">
      <c r="A2" s="3" t="s">
        <v>3</v>
      </c>
      <c r="B2" s="3" t="s">
        <v>21</v>
      </c>
      <c r="C2" s="3" t="s">
        <v>16</v>
      </c>
      <c r="D2" s="3">
        <v>72704</v>
      </c>
      <c r="E2" s="5">
        <v>5</v>
      </c>
      <c r="F2" s="9"/>
      <c r="G2" s="6" t="s">
        <v>37</v>
      </c>
      <c r="H2" s="12" t="s">
        <v>6</v>
      </c>
    </row>
    <row r="3" spans="1:11" ht="14.4" customHeight="1" x14ac:dyDescent="0.3">
      <c r="A3" s="3" t="s">
        <v>4</v>
      </c>
      <c r="B3" s="3" t="s">
        <v>22</v>
      </c>
      <c r="C3" s="3" t="s">
        <v>17</v>
      </c>
      <c r="D3" s="3">
        <v>65986</v>
      </c>
      <c r="E3" s="5">
        <v>4</v>
      </c>
      <c r="F3" s="10"/>
      <c r="G3" s="6" t="s">
        <v>1</v>
      </c>
      <c r="H3" s="1" t="str">
        <f>VLOOKUP($H$2,$A$2:$E$13,MATCH($G$3,$A$1:$E$1,0))</f>
        <v>Salesman_4</v>
      </c>
    </row>
    <row r="4" spans="1:11" x14ac:dyDescent="0.3">
      <c r="A4" s="3" t="s">
        <v>5</v>
      </c>
      <c r="B4" s="3" t="s">
        <v>23</v>
      </c>
      <c r="C4" s="3" t="s">
        <v>15</v>
      </c>
      <c r="D4" s="3">
        <v>62547</v>
      </c>
      <c r="E4" s="5">
        <v>3</v>
      </c>
      <c r="F4" s="10"/>
      <c r="G4" s="6" t="s">
        <v>2</v>
      </c>
      <c r="H4" s="1" t="str">
        <f>VLOOKUP($H$2,$A$2:$E$13,MATCH(G4,$A$1:$E$1,0))</f>
        <v>Operations</v>
      </c>
    </row>
    <row r="5" spans="1:11" x14ac:dyDescent="0.3">
      <c r="A5" s="3" t="s">
        <v>6</v>
      </c>
      <c r="B5" s="3" t="s">
        <v>24</v>
      </c>
      <c r="C5" s="3" t="s">
        <v>16</v>
      </c>
      <c r="D5" s="3">
        <v>20325</v>
      </c>
      <c r="E5" s="5">
        <v>4</v>
      </c>
      <c r="F5" s="10"/>
    </row>
    <row r="6" spans="1:11" x14ac:dyDescent="0.3">
      <c r="A6" s="3" t="s">
        <v>7</v>
      </c>
      <c r="B6" s="3" t="s">
        <v>25</v>
      </c>
      <c r="C6" s="3" t="s">
        <v>16</v>
      </c>
      <c r="D6" s="3">
        <v>96532</v>
      </c>
      <c r="E6" s="5">
        <v>6</v>
      </c>
      <c r="F6" s="10"/>
    </row>
    <row r="7" spans="1:11" x14ac:dyDescent="0.3">
      <c r="A7" s="3" t="s">
        <v>8</v>
      </c>
      <c r="B7" s="3" t="s">
        <v>26</v>
      </c>
      <c r="C7" s="3" t="s">
        <v>17</v>
      </c>
      <c r="D7" s="3">
        <v>65874</v>
      </c>
      <c r="E7" s="5">
        <v>7</v>
      </c>
      <c r="F7" s="10"/>
      <c r="G7">
        <f>MATCH($G$3,$A$1:$E$1,0)</f>
        <v>2</v>
      </c>
    </row>
    <row r="8" spans="1:11" x14ac:dyDescent="0.3">
      <c r="A8" s="3" t="s">
        <v>9</v>
      </c>
      <c r="B8" s="3" t="s">
        <v>27</v>
      </c>
      <c r="C8" s="3" t="s">
        <v>15</v>
      </c>
      <c r="D8" s="3">
        <v>86523</v>
      </c>
      <c r="E8" s="5">
        <v>3</v>
      </c>
      <c r="F8" s="10"/>
    </row>
    <row r="9" spans="1:11" ht="14.4" customHeight="1" x14ac:dyDescent="0.3">
      <c r="A9" s="3" t="s">
        <v>10</v>
      </c>
      <c r="B9" s="3" t="s">
        <v>28</v>
      </c>
      <c r="C9" s="3" t="s">
        <v>16</v>
      </c>
      <c r="D9" s="3">
        <v>48962</v>
      </c>
      <c r="E9" s="5">
        <v>5</v>
      </c>
      <c r="F9" s="10"/>
    </row>
    <row r="10" spans="1:11" x14ac:dyDescent="0.3">
      <c r="A10" s="3" t="s">
        <v>11</v>
      </c>
      <c r="B10" s="3" t="s">
        <v>29</v>
      </c>
      <c r="C10" s="3" t="s">
        <v>16</v>
      </c>
      <c r="D10" s="3">
        <v>16235</v>
      </c>
      <c r="E10" s="5">
        <v>6</v>
      </c>
      <c r="F10" s="10"/>
    </row>
    <row r="11" spans="1:11" x14ac:dyDescent="0.3">
      <c r="A11" s="3" t="s">
        <v>12</v>
      </c>
      <c r="B11" s="3" t="s">
        <v>30</v>
      </c>
      <c r="C11" s="3" t="s">
        <v>17</v>
      </c>
      <c r="D11" s="3">
        <v>31265</v>
      </c>
      <c r="E11" s="5">
        <v>2</v>
      </c>
      <c r="F11" s="10"/>
    </row>
    <row r="12" spans="1:11" x14ac:dyDescent="0.3">
      <c r="A12" s="3" t="s">
        <v>13</v>
      </c>
      <c r="B12" s="3" t="s">
        <v>31</v>
      </c>
      <c r="C12" s="3" t="s">
        <v>17</v>
      </c>
      <c r="D12" s="3">
        <v>98562</v>
      </c>
      <c r="E12" s="5">
        <v>3</v>
      </c>
      <c r="F12" s="10"/>
    </row>
    <row r="13" spans="1:11" x14ac:dyDescent="0.3">
      <c r="A13" s="3" t="s">
        <v>14</v>
      </c>
      <c r="B13" s="3" t="s">
        <v>32</v>
      </c>
      <c r="C13" s="3" t="s">
        <v>16</v>
      </c>
      <c r="D13" s="3">
        <v>75632</v>
      </c>
      <c r="E13" s="5">
        <v>7</v>
      </c>
      <c r="F13" s="10"/>
      <c r="H13" s="17" t="s">
        <v>53</v>
      </c>
      <c r="I13" s="17"/>
      <c r="J13" s="17"/>
      <c r="K13" s="17"/>
    </row>
    <row r="14" spans="1:11" x14ac:dyDescent="0.3">
      <c r="I14" t="s">
        <v>51</v>
      </c>
    </row>
    <row r="15" spans="1:11" x14ac:dyDescent="0.3">
      <c r="I15" t="s">
        <v>52</v>
      </c>
    </row>
    <row r="17" spans="7:9" x14ac:dyDescent="0.3">
      <c r="G17" t="s">
        <v>50</v>
      </c>
      <c r="I17" t="s">
        <v>54</v>
      </c>
    </row>
    <row r="19" spans="7:9" x14ac:dyDescent="0.3">
      <c r="I19" s="11"/>
    </row>
  </sheetData>
  <mergeCells count="1">
    <mergeCell ref="H13:K13"/>
  </mergeCells>
  <dataValidations count="2">
    <dataValidation type="list" allowBlank="1" showInputMessage="1" showErrorMessage="1" sqref="H2">
      <formula1>$A$2:$A$13</formula1>
    </dataValidation>
    <dataValidation type="list" allowBlank="1" showInputMessage="1" showErrorMessage="1" sqref="G3:G4">
      <formula1>$A$1:$E$1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115" zoomScaleNormal="115" workbookViewId="0">
      <selection activeCell="D16" sqref="D16"/>
    </sheetView>
  </sheetViews>
  <sheetFormatPr defaultRowHeight="14.4" x14ac:dyDescent="0.3"/>
  <cols>
    <col min="1" max="1" width="18.109375" bestFit="1" customWidth="1"/>
    <col min="2" max="2" width="30.44140625" bestFit="1" customWidth="1"/>
    <col min="3" max="3" width="31.44140625" bestFit="1" customWidth="1"/>
    <col min="4" max="4" width="29.6640625" bestFit="1" customWidth="1"/>
    <col min="5" max="5" width="32" bestFit="1" customWidth="1"/>
    <col min="6" max="6" width="28.88671875" bestFit="1" customWidth="1"/>
    <col min="7" max="7" width="28.77734375" bestFit="1" customWidth="1"/>
    <col min="8" max="8" width="30.109375" bestFit="1" customWidth="1"/>
    <col min="9" max="9" width="29.33203125" bestFit="1" customWidth="1"/>
    <col min="10" max="10" width="30.44140625" bestFit="1" customWidth="1"/>
  </cols>
  <sheetData>
    <row r="1" spans="1:10" x14ac:dyDescent="0.3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62</v>
      </c>
      <c r="I1" s="13" t="s">
        <v>63</v>
      </c>
      <c r="J1" s="13" t="s">
        <v>64</v>
      </c>
    </row>
    <row r="2" spans="1:10" x14ac:dyDescent="0.3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66</v>
      </c>
    </row>
    <row r="3" spans="1:10" x14ac:dyDescent="0.3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70</v>
      </c>
      <c r="G3" t="s">
        <v>79</v>
      </c>
      <c r="H3" t="s">
        <v>80</v>
      </c>
      <c r="I3" t="s">
        <v>81</v>
      </c>
      <c r="J3" t="s">
        <v>75</v>
      </c>
    </row>
    <row r="4" spans="1:10" x14ac:dyDescent="0.3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70</v>
      </c>
      <c r="G4" t="s">
        <v>87</v>
      </c>
      <c r="H4" t="s">
        <v>88</v>
      </c>
      <c r="I4" t="s">
        <v>89</v>
      </c>
      <c r="J4" t="s">
        <v>83</v>
      </c>
    </row>
    <row r="5" spans="1:10" x14ac:dyDescent="0.3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70</v>
      </c>
      <c r="G5" t="s">
        <v>95</v>
      </c>
      <c r="H5" t="s">
        <v>96</v>
      </c>
      <c r="I5" t="s">
        <v>97</v>
      </c>
      <c r="J5" t="s">
        <v>91</v>
      </c>
    </row>
    <row r="6" spans="1:10" x14ac:dyDescent="0.3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70</v>
      </c>
      <c r="G6" t="s">
        <v>103</v>
      </c>
      <c r="H6" t="s">
        <v>104</v>
      </c>
      <c r="I6" t="s">
        <v>105</v>
      </c>
      <c r="J6" t="s">
        <v>99</v>
      </c>
    </row>
    <row r="7" spans="1:10" x14ac:dyDescent="0.3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70</v>
      </c>
      <c r="G7" t="s">
        <v>111</v>
      </c>
      <c r="H7" t="s">
        <v>112</v>
      </c>
      <c r="I7" t="s">
        <v>113</v>
      </c>
      <c r="J7" t="s">
        <v>107</v>
      </c>
    </row>
    <row r="8" spans="1:10" x14ac:dyDescent="0.3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70</v>
      </c>
      <c r="G8" t="s">
        <v>119</v>
      </c>
      <c r="H8" t="s">
        <v>120</v>
      </c>
      <c r="I8" t="s">
        <v>121</v>
      </c>
      <c r="J8" t="s">
        <v>115</v>
      </c>
    </row>
    <row r="9" spans="1:10" x14ac:dyDescent="0.3">
      <c r="A9" t="s">
        <v>122</v>
      </c>
      <c r="B9" t="s">
        <v>123</v>
      </c>
      <c r="C9" t="s">
        <v>124</v>
      </c>
      <c r="D9" t="s">
        <v>125</v>
      </c>
      <c r="E9" t="s">
        <v>126</v>
      </c>
      <c r="F9" t="s">
        <v>70</v>
      </c>
      <c r="G9" t="s">
        <v>127</v>
      </c>
      <c r="H9" t="s">
        <v>128</v>
      </c>
      <c r="I9" t="s">
        <v>129</v>
      </c>
      <c r="J9" t="s">
        <v>123</v>
      </c>
    </row>
    <row r="13" spans="1:10" ht="20.399999999999999" customHeight="1" x14ac:dyDescent="0.3">
      <c r="B13" s="13" t="s">
        <v>55</v>
      </c>
      <c r="C13" s="14" t="s">
        <v>62</v>
      </c>
    </row>
    <row r="14" spans="1:10" ht="21.6" customHeight="1" x14ac:dyDescent="0.3">
      <c r="B14" s="14" t="s">
        <v>106</v>
      </c>
      <c r="C14" s="15" t="str">
        <f>INDEX(A1:J9,MATCH(B14,A1:A9,0),MATCH(C13,A1:J1,0))</f>
        <v>Physical Education (Mr. Brown)</v>
      </c>
    </row>
    <row r="16" spans="1:10" x14ac:dyDescent="0.3">
      <c r="A16" s="16" t="s">
        <v>131</v>
      </c>
      <c r="B16">
        <f>MATCH(B14,A2:A9,0)</f>
        <v>6</v>
      </c>
    </row>
    <row r="17" spans="1:4" x14ac:dyDescent="0.3">
      <c r="A17" s="16" t="s">
        <v>130</v>
      </c>
      <c r="B17">
        <f>MATCH(C13,A1:J1,0)</f>
        <v>8</v>
      </c>
    </row>
    <row r="18" spans="1:4" x14ac:dyDescent="0.3">
      <c r="D18" t="s">
        <v>134</v>
      </c>
    </row>
    <row r="19" spans="1:4" x14ac:dyDescent="0.3">
      <c r="D19" t="s">
        <v>132</v>
      </c>
    </row>
    <row r="20" spans="1:4" x14ac:dyDescent="0.3">
      <c r="D20" t="s">
        <v>133</v>
      </c>
    </row>
  </sheetData>
  <dataValidations count="2">
    <dataValidation type="list" allowBlank="1" showInputMessage="1" showErrorMessage="1" sqref="C13">
      <formula1>$B$1:$J$1</formula1>
    </dataValidation>
    <dataValidation type="list" allowBlank="1" showInputMessage="1" showErrorMessage="1" sqref="B14">
      <formula1>$A$1:$A$9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VLOOKUP</vt:lpstr>
      <vt:lpstr>VLOOKUP-2</vt:lpstr>
      <vt:lpstr>VLOOKUP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 Lenovo</dc:creator>
  <cp:lastModifiedBy>Ibti Lenovo</cp:lastModifiedBy>
  <dcterms:created xsi:type="dcterms:W3CDTF">2025-07-05T15:08:32Z</dcterms:created>
  <dcterms:modified xsi:type="dcterms:W3CDTF">2025-07-10T15:22:28Z</dcterms:modified>
</cp:coreProperties>
</file>